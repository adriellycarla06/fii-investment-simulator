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0C3C9EEC-3CD2-584E-B01D-75FA602080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 simulador de investimento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C37" i="2"/>
  <c r="C33" i="2"/>
  <c r="C17" i="2"/>
  <c r="D17" i="2"/>
  <c r="C18" i="2"/>
  <c r="D18" i="2"/>
  <c r="C19" i="2"/>
  <c r="D19" i="2"/>
  <c r="C20" i="2"/>
  <c r="D20" i="2"/>
  <c r="C16" i="2"/>
  <c r="D16" i="2"/>
  <c r="C12" i="2"/>
  <c r="C13" i="2"/>
</calcChain>
</file>

<file path=xl/sharedStrings.xml><?xml version="1.0" encoding="utf-8"?>
<sst xmlns="http://schemas.openxmlformats.org/spreadsheetml/2006/main" count="23" uniqueCount="20">
  <si>
    <t>Investimento Mensal</t>
  </si>
  <si>
    <t>Aporte mensal</t>
  </si>
  <si>
    <t>Taxa de rendimento mensal</t>
  </si>
  <si>
    <t>Período em meses</t>
  </si>
  <si>
    <t>Patrimônio acumulado</t>
  </si>
  <si>
    <t>Dividendos mensais</t>
  </si>
  <si>
    <t>Cenários em anos</t>
  </si>
  <si>
    <t>2 anos</t>
  </si>
  <si>
    <t>1 ano</t>
  </si>
  <si>
    <t>5 anos</t>
  </si>
  <si>
    <t>10 anos</t>
  </si>
  <si>
    <t>20 anos</t>
  </si>
  <si>
    <t xml:space="preserve">Patrimônio acumulado </t>
  </si>
  <si>
    <t>Dividendo mensal</t>
  </si>
  <si>
    <t>Investimento por Faixa Salarial</t>
  </si>
  <si>
    <t>Salário mensal</t>
  </si>
  <si>
    <t xml:space="preserve">Taxa de rendimento mensal </t>
  </si>
  <si>
    <t>Aporte desejado</t>
  </si>
  <si>
    <t>% do salário</t>
  </si>
  <si>
    <t>SIMULADOR DE INVESTIMENTOS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</si>
</sst>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R$-416]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  <family val="18"/>
    </font>
    <font>
      <sz val="11"/>
      <color theme="1"/>
      <name val="Arial"/>
      <family val="18"/>
    </font>
    <font>
      <sz val="11"/>
      <color theme="0"/>
      <name val="Arial"/>
      <family val="18"/>
    </font>
    <font>
      <b/>
      <sz val="18"/>
      <color theme="1"/>
      <name val="Arial"/>
      <family val="18"/>
    </font>
    <font>
      <b/>
      <sz val="18"/>
      <color theme="0"/>
      <name val="Arial"/>
      <family val="1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1" xfId="0" applyNumberFormat="1" applyFont="1" applyBorder="1"/>
    <xf numFmtId="164" fontId="3" fillId="0" borderId="1" xfId="0" applyNumberFormat="1" applyFont="1" applyBorder="1"/>
    <xf numFmtId="0" fontId="4" fillId="2" borderId="0" xfId="0" applyFont="1" applyFill="1"/>
    <xf numFmtId="9" fontId="3" fillId="0" borderId="1" xfId="0" applyNumberFormat="1" applyFont="1" applyBorder="1"/>
    <xf numFmtId="0" fontId="3" fillId="0" borderId="5" xfId="0" applyFont="1" applyBorder="1"/>
    <xf numFmtId="1" fontId="3" fillId="0" borderId="5" xfId="0" applyNumberFormat="1" applyFont="1" applyBorder="1"/>
    <xf numFmtId="0" fontId="3" fillId="3" borderId="1" xfId="0" applyFont="1" applyFill="1" applyBorder="1"/>
    <xf numFmtId="0" fontId="3" fillId="3" borderId="6" xfId="0" applyFont="1" applyFill="1" applyBorder="1"/>
    <xf numFmtId="0" fontId="5" fillId="2" borderId="0" xfId="0" applyFont="1" applyFill="1" applyAlignment="1">
      <alignment vertical="center"/>
    </xf>
    <xf numFmtId="165" fontId="3" fillId="0" borderId="1" xfId="0" applyNumberFormat="1" applyFont="1" applyBorder="1"/>
    <xf numFmtId="165" fontId="3" fillId="3" borderId="1" xfId="0" applyNumberFormat="1" applyFont="1" applyFill="1" applyBorder="1"/>
    <xf numFmtId="165" fontId="3" fillId="3" borderId="6" xfId="0" applyNumberFormat="1" applyFont="1" applyFill="1" applyBorder="1"/>
    <xf numFmtId="0" fontId="6" fillId="4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1169-13E3-F145-9089-675BEB3EAC4E}">
  <dimension ref="A1:G39"/>
  <sheetViews>
    <sheetView showGridLines="0" tabSelected="1" zoomScaleNormal="60" zoomScaleSheetLayoutView="100" workbookViewId="0">
      <selection activeCell="D47" sqref="D47"/>
    </sheetView>
  </sheetViews>
  <sheetFormatPr defaultRowHeight="15" x14ac:dyDescent="0.2"/>
  <cols>
    <col min="2" max="2" width="33.62890625" bestFit="1" customWidth="1"/>
    <col min="3" max="3" width="56.09375" customWidth="1"/>
    <col min="4" max="4" width="19.63671875" bestFit="1" customWidth="1"/>
    <col min="5" max="5" width="30.8046875" bestFit="1" customWidth="1"/>
    <col min="6" max="6" width="23" bestFit="1" customWidth="1"/>
    <col min="7" max="7" width="18.6953125" bestFit="1" customWidth="1"/>
  </cols>
  <sheetData>
    <row r="1" spans="1:7" ht="15" customHeight="1" x14ac:dyDescent="0.2">
      <c r="A1" s="14"/>
      <c r="B1" s="18" t="s">
        <v>19</v>
      </c>
      <c r="C1" s="18"/>
      <c r="D1" s="18"/>
      <c r="G1" s="1"/>
    </row>
    <row r="2" spans="1:7" ht="15" customHeight="1" x14ac:dyDescent="0.2">
      <c r="A2" s="14"/>
      <c r="B2" s="18"/>
      <c r="C2" s="18"/>
      <c r="D2" s="18"/>
      <c r="G2" s="1"/>
    </row>
    <row r="3" spans="1:7" ht="15" customHeight="1" x14ac:dyDescent="0.2">
      <c r="A3" s="14"/>
      <c r="B3" s="18"/>
      <c r="C3" s="18"/>
      <c r="D3" s="18"/>
    </row>
    <row r="4" spans="1:7" x14ac:dyDescent="0.2">
      <c r="A4" s="2"/>
      <c r="B4" s="2"/>
      <c r="C4" s="2"/>
      <c r="D4" s="3"/>
    </row>
    <row r="5" spans="1:7" x14ac:dyDescent="0.2">
      <c r="A5" s="2"/>
      <c r="B5" s="2"/>
      <c r="C5" s="2"/>
      <c r="D5" s="3"/>
    </row>
    <row r="6" spans="1:7" x14ac:dyDescent="0.2">
      <c r="A6" s="4"/>
      <c r="B6" s="4"/>
      <c r="C6" s="4"/>
      <c r="D6" s="4"/>
    </row>
    <row r="7" spans="1:7" x14ac:dyDescent="0.2">
      <c r="A7" s="4"/>
      <c r="B7" s="4"/>
      <c r="C7" s="4"/>
      <c r="D7" s="4"/>
    </row>
    <row r="8" spans="1:7" x14ac:dyDescent="0.2">
      <c r="A8" s="4"/>
      <c r="B8" s="19" t="s">
        <v>0</v>
      </c>
      <c r="C8" s="20"/>
      <c r="D8" s="4"/>
    </row>
    <row r="9" spans="1:7" x14ac:dyDescent="0.2">
      <c r="A9" s="4"/>
      <c r="B9" s="5" t="s">
        <v>1</v>
      </c>
      <c r="C9" s="15">
        <v>700</v>
      </c>
      <c r="D9" s="4"/>
    </row>
    <row r="10" spans="1:7" x14ac:dyDescent="0.2">
      <c r="A10" s="4"/>
      <c r="B10" s="5" t="s">
        <v>3</v>
      </c>
      <c r="C10" s="6">
        <v>8</v>
      </c>
      <c r="D10" s="4"/>
    </row>
    <row r="11" spans="1:7" x14ac:dyDescent="0.2">
      <c r="A11" s="4"/>
      <c r="B11" s="5" t="s">
        <v>2</v>
      </c>
      <c r="C11" s="7">
        <v>0.01</v>
      </c>
      <c r="D11" s="4"/>
    </row>
    <row r="12" spans="1:7" x14ac:dyDescent="0.2">
      <c r="A12" s="8">
        <v>1</v>
      </c>
      <c r="B12" s="12" t="s">
        <v>4</v>
      </c>
      <c r="C12" s="16">
        <f>FV(C11,C10,C9*-1)</f>
        <v>5799.9693939656154</v>
      </c>
      <c r="D12" s="4"/>
    </row>
    <row r="13" spans="1:7" x14ac:dyDescent="0.2">
      <c r="A13" s="8">
        <v>2</v>
      </c>
      <c r="B13" s="12" t="s">
        <v>5</v>
      </c>
      <c r="C13" s="16">
        <f>C12*C11</f>
        <v>57.999693939656154</v>
      </c>
      <c r="D13" s="4"/>
    </row>
    <row r="14" spans="1:7" x14ac:dyDescent="0.2">
      <c r="A14" s="8">
        <v>5</v>
      </c>
      <c r="B14" s="4"/>
      <c r="C14" s="4"/>
      <c r="D14" s="4"/>
    </row>
    <row r="15" spans="1:7" x14ac:dyDescent="0.2">
      <c r="A15" s="8">
        <v>10</v>
      </c>
      <c r="B15" s="21" t="s">
        <v>6</v>
      </c>
      <c r="C15" s="22" t="s">
        <v>12</v>
      </c>
      <c r="D15" s="22" t="s">
        <v>13</v>
      </c>
    </row>
    <row r="16" spans="1:7" x14ac:dyDescent="0.2">
      <c r="A16" s="8">
        <v>20</v>
      </c>
      <c r="B16" s="12" t="s">
        <v>8</v>
      </c>
      <c r="C16" s="16">
        <f>FV($C$11,A12*12,$C$9*-1)</f>
        <v>8877.7521092378829</v>
      </c>
      <c r="D16" s="16">
        <f>C16*$C$11</f>
        <v>88.777521092378834</v>
      </c>
    </row>
    <row r="17" spans="1:4" x14ac:dyDescent="0.2">
      <c r="A17" s="4"/>
      <c r="B17" s="12" t="s">
        <v>7</v>
      </c>
      <c r="C17" s="16">
        <f>FV($C$11,A13*12,$C$9*-1)</f>
        <v>18881.425397234048</v>
      </c>
      <c r="D17" s="16">
        <f>C17*$C$11</f>
        <v>188.81425397234048</v>
      </c>
    </row>
    <row r="18" spans="1:4" x14ac:dyDescent="0.2">
      <c r="A18" s="4"/>
      <c r="B18" s="12" t="s">
        <v>9</v>
      </c>
      <c r="C18" s="16">
        <f>FV($C$11,A14*12,$C$9*-1)</f>
        <v>57168.768899486393</v>
      </c>
      <c r="D18" s="16">
        <f>C18*$C$11</f>
        <v>571.68768899486395</v>
      </c>
    </row>
    <row r="19" spans="1:4" x14ac:dyDescent="0.2">
      <c r="A19" s="4"/>
      <c r="B19" s="12" t="s">
        <v>10</v>
      </c>
      <c r="C19" s="16">
        <f>FV($C$11,A15*12,$C$9*-1)</f>
        <v>161027.0826201569</v>
      </c>
      <c r="D19" s="16">
        <f>C19*$C$11</f>
        <v>1610.270826201569</v>
      </c>
    </row>
    <row r="20" spans="1:4" x14ac:dyDescent="0.2">
      <c r="A20" s="4"/>
      <c r="B20" s="12" t="s">
        <v>11</v>
      </c>
      <c r="C20" s="16">
        <f>FV($C$11,A16*12,$C$9*-1)</f>
        <v>692478.75577115407</v>
      </c>
      <c r="D20" s="16">
        <f>C20*$C$11</f>
        <v>6924.787557711541</v>
      </c>
    </row>
    <row r="21" spans="1:4" x14ac:dyDescent="0.2">
      <c r="A21" s="4"/>
      <c r="B21" s="4"/>
      <c r="C21" s="4"/>
      <c r="D21" s="4"/>
    </row>
    <row r="22" spans="1:4" x14ac:dyDescent="0.2">
      <c r="A22" s="4"/>
      <c r="D22" s="4"/>
    </row>
    <row r="23" spans="1:4" x14ac:dyDescent="0.2">
      <c r="A23" s="4"/>
      <c r="D23" s="4"/>
    </row>
    <row r="24" spans="1:4" x14ac:dyDescent="0.2">
      <c r="A24" s="4"/>
      <c r="B24" s="4"/>
      <c r="C24" s="4"/>
      <c r="D24" s="4"/>
    </row>
    <row r="25" spans="1:4" x14ac:dyDescent="0.2">
      <c r="A25" s="4"/>
      <c r="B25" s="4"/>
      <c r="C25" s="4"/>
      <c r="D25" s="4"/>
    </row>
    <row r="26" spans="1:4" x14ac:dyDescent="0.2">
      <c r="A26" s="4"/>
      <c r="B26" s="4"/>
      <c r="C26" s="4"/>
      <c r="D26" s="4"/>
    </row>
    <row r="27" spans="1:4" x14ac:dyDescent="0.2">
      <c r="A27" s="4"/>
      <c r="B27" s="4"/>
      <c r="C27" s="4"/>
      <c r="D27" s="4"/>
    </row>
    <row r="28" spans="1:4" x14ac:dyDescent="0.2">
      <c r="A28" s="4"/>
    </row>
    <row r="29" spans="1:4" x14ac:dyDescent="0.2">
      <c r="A29" s="4"/>
    </row>
    <row r="30" spans="1:4" x14ac:dyDescent="0.2">
      <c r="A30" s="4"/>
      <c r="B30" s="23" t="s">
        <v>14</v>
      </c>
      <c r="C30" s="24"/>
    </row>
    <row r="31" spans="1:4" x14ac:dyDescent="0.2">
      <c r="A31" s="4"/>
      <c r="B31" s="5" t="s">
        <v>15</v>
      </c>
      <c r="C31" s="15">
        <v>5000</v>
      </c>
    </row>
    <row r="32" spans="1:4" x14ac:dyDescent="0.2">
      <c r="A32" s="4"/>
      <c r="B32" s="5" t="s">
        <v>17</v>
      </c>
      <c r="C32" s="15">
        <v>2000</v>
      </c>
    </row>
    <row r="33" spans="1:4" x14ac:dyDescent="0.2">
      <c r="A33" s="4"/>
      <c r="B33" s="5" t="s">
        <v>18</v>
      </c>
      <c r="C33" s="9">
        <f>C32/C31</f>
        <v>0.4</v>
      </c>
    </row>
    <row r="34" spans="1:4" x14ac:dyDescent="0.2">
      <c r="A34" s="4"/>
      <c r="B34" s="5" t="s">
        <v>16</v>
      </c>
      <c r="C34" s="9">
        <v>0.01</v>
      </c>
    </row>
    <row r="35" spans="1:4" x14ac:dyDescent="0.2">
      <c r="A35" s="4"/>
      <c r="B35" s="10" t="s">
        <v>3</v>
      </c>
      <c r="C35" s="11">
        <v>12</v>
      </c>
      <c r="D35" s="4"/>
    </row>
    <row r="36" spans="1:4" x14ac:dyDescent="0.2">
      <c r="A36" s="4"/>
      <c r="B36" s="13" t="s">
        <v>4</v>
      </c>
      <c r="C36" s="17">
        <f>FV(C34,C35,C32*-1)</f>
        <v>25365.006026393952</v>
      </c>
      <c r="D36" s="4"/>
    </row>
    <row r="37" spans="1:4" x14ac:dyDescent="0.2">
      <c r="A37" s="4"/>
      <c r="B37" s="12" t="s">
        <v>5</v>
      </c>
      <c r="C37" s="16">
        <f>C36*C34</f>
        <v>253.65006026393954</v>
      </c>
      <c r="D37" s="4"/>
    </row>
    <row r="38" spans="1:4" x14ac:dyDescent="0.2">
      <c r="A38" s="4"/>
      <c r="B38" s="4"/>
      <c r="C38" s="4"/>
      <c r="D38" s="4"/>
    </row>
    <row r="39" spans="1:4" x14ac:dyDescent="0.2">
      <c r="A39" s="4"/>
      <c r="B39" s="4"/>
      <c r="C39" s="4"/>
      <c r="D39" s="4"/>
    </row>
  </sheetData>
  <mergeCells count="3">
    <mergeCell ref="B30:C30"/>
    <mergeCell ref="B1:D3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simulador de 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Adrielly</dc:creator>
  <dcterms:created xsi:type="dcterms:W3CDTF">2026-02-05T10:40:22Z</dcterms:created>
</cp:coreProperties>
</file>